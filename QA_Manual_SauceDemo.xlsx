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36acc55e7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a3f02810dfc4512"/>
    <x:sheet xmlns:r="http://schemas.openxmlformats.org/officeDocument/2006/relationships" name="Casos de prueba" sheetId="2" r:id="R4118009e6b6e495b"/>
    <x:sheet xmlns:r="http://schemas.openxmlformats.org/officeDocument/2006/relationships" name="Ejecución" sheetId="3" r:id="Ra780bb2a6df24f01"/>
    <x:sheet xmlns:r="http://schemas.openxmlformats.org/officeDocument/2006/relationships" name="Reporte de defectos" sheetId="4" r:id="Rfada93261061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0"/>
      <x:color rgb="FF1F1F1F"/>
      <x:name val="Arial"/>
    </x:font>
    <x:font>
      <x:b/>
      <x:sz val="15"/>
      <x:color rgb="FF1F4E78"/>
      <x:name val="Arial"/>
    </x:font>
    <x:font>
      <x:i/>
      <x:sz val="10"/>
      <x:color rgb="FF666666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b/>
      <x:sz val="12"/>
      <x:color rgb="FF375623"/>
      <x:name val="Arial"/>
    </x:font>
    <x:font>
      <x:b/>
      <x:sz val="10"/>
      <x:color rgb="FF37562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/>
    </x:xf>
    <x:xf numFmtId="0" fontId="1" fillId="4" borderId="7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7ee50ad454400" /><Relationship Type="http://schemas.openxmlformats.org/officeDocument/2006/relationships/theme" Target="/xl/theme/theme1.xml" Id="R282be5b1ed25403c" /><Relationship Type="http://schemas.openxmlformats.org/officeDocument/2006/relationships/sharedStrings" Target="/xl/sharedStrings.xml" Id="Rd18a9eb674e94dd6" /><Relationship Type="http://schemas.openxmlformats.org/officeDocument/2006/relationships/worksheet" Target="/xl/worksheets/sheet1.xml" Id="Rfa3f02810dfc4512" /><Relationship Type="http://schemas.openxmlformats.org/officeDocument/2006/relationships/worksheet" Target="/xl/worksheets/sheet2.xml" Id="R4118009e6b6e495b" /><Relationship Type="http://schemas.openxmlformats.org/officeDocument/2006/relationships/worksheet" Target="/xl/worksheets/sheet3.xml" Id="Ra780bb2a6df24f01" /><Relationship Type="http://schemas.openxmlformats.org/officeDocument/2006/relationships/worksheet" Target="/xl/worksheets/sheet4.xml" Id="Rfada93261061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37" hidden="0" customWidth="1"/>
    <x:col min="3" max="3" width="3" hidden="0" customWidth="1"/>
    <x:col min="4" max="4" width="23" hidden="0" customWidth="1"/>
    <x:col min="5" max="5" width="13" hidden="0" customWidth="1"/>
    <x:col min="6" max="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4" t="str">
        <x:v>Portafolio QA — Pruebas manuales de SauceDemo</x:v>
      </x:c>
      <x:c r="B2" s="4"/>
      <x:c r="C2" s="4"/>
      <x:c r="D2" s="4"/>
      <x:c r="E2" s="4"/>
      <x:c r="F2" s="4"/>
      <x:c r="G2" s="2"/>
      <x:c r="H2" s="2"/>
      <x:c r="I2" s="2"/>
      <x:c r="J2" s="2"/>
      <x:c r="K2" s="2"/>
    </x:row>
    <x:row r="3">
      <x:c r="A3" s="5" t="str">
        <x:v>Resumen de la primera ronda de pruebas funcionales</x:v>
      </x:c>
      <x:c r="B3" s="5"/>
      <x:c r="C3" s="5"/>
      <x:c r="D3" s="5"/>
      <x:c r="E3" s="5"/>
      <x:c r="F3" s="5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8" t="str">
        <x:v>Aplicación</x:v>
      </x:c>
      <x:c r="B5" s="9" t="str">
        <x:v>SauceDemo</x:v>
      </x:c>
      <x:c r="C5" s="2"/>
      <x:c r="D5" s="17" t="str">
        <x:v>Indicadores de ejecución</x:v>
      </x:c>
      <x:c r="E5" s="17" t="str"/>
      <x:c r="F5" s="17" t="str"/>
      <x:c r="G5" s="2"/>
      <x:c r="H5" s="2"/>
      <x:c r="I5" s="2"/>
      <x:c r="J5" s="2"/>
      <x:c r="K5" s="2"/>
    </x:row>
    <x:row r="6">
      <x:c r="A6" s="10" t="str">
        <x:v>URL</x:v>
      </x:c>
      <x:c r="B6" s="11" t="str">
        <x:v>https://www.saucedemo.com/</x:v>
      </x:c>
      <x:c r="C6" s="2"/>
      <x:c r="D6" s="19" t="str">
        <x:v>Casos planificados</x:v>
      </x:c>
      <x:c r="E6" s="22" t="n">
        <x:f>COUNTA('Casos de prueba'!A7:A100)</x:f>
        <x:v>3</x:v>
      </x:c>
      <x:c r="F6" s="18" t="str"/>
      <x:c r="G6" s="2"/>
      <x:c r="H6" s="2"/>
      <x:c r="I6" s="2"/>
      <x:c r="J6" s="2"/>
      <x:c r="K6" s="2"/>
    </x:row>
    <x:row r="7">
      <x:c r="A7" s="10" t="str">
        <x:v>Fecha de ejecución</x:v>
      </x:c>
      <x:c r="B7" s="14" t="n">
        <x:v>46275</x:v>
      </x:c>
      <x:c r="C7" s="2"/>
      <x:c r="D7" s="19" t="str">
        <x:v>Casos ejecutados</x:v>
      </x:c>
      <x:c r="E7" s="22" t="n">
        <x:f>COUNTA('Ejecución'!A7:A100)</x:f>
        <x:v>3</x:v>
      </x:c>
      <x:c r="F7" s="18" t="str"/>
      <x:c r="G7" s="2"/>
      <x:c r="H7" s="2"/>
      <x:c r="I7" s="2"/>
      <x:c r="J7" s="2"/>
      <x:c r="K7" s="2"/>
    </x:row>
    <x:row r="8">
      <x:c r="A8" s="10" t="str">
        <x:v>Navegador</x:v>
      </x:c>
      <x:c r="B8" s="11" t="str">
        <x:v>Chromium</x:v>
      </x:c>
      <x:c r="C8" s="2"/>
      <x:c r="D8" s="19" t="str">
        <x:v>Aprobados</x:v>
      </x:c>
      <x:c r="E8" s="22" t="n">
        <x:f>COUNTIF('Ejecución'!D7:D100,"Aprobado")</x:f>
        <x:v>3</x:v>
      </x:c>
      <x:c r="F8" s="18" t="str"/>
      <x:c r="G8" s="2"/>
      <x:c r="H8" s="2"/>
      <x:c r="I8" s="2"/>
      <x:c r="J8" s="2"/>
      <x:c r="K8" s="2"/>
    </x:row>
    <x:row r="9">
      <x:c r="A9" s="12" t="str">
        <x:v>Alcance</x:v>
      </x:c>
      <x:c r="B9" s="13" t="str">
        <x:v>Inicio de sesión, catálogo y carrito</x:v>
      </x:c>
      <x:c r="C9" s="2"/>
      <x:c r="D9" s="19" t="str">
        <x:v>Fallidos</x:v>
      </x:c>
      <x:c r="E9" s="22" t="n">
        <x:f>COUNTIF('Ejecución'!D7:D100,"Fallido")</x:f>
        <x:v>0</x:v>
      </x:c>
      <x:c r="F9" s="18" t="str"/>
      <x:c r="G9" s="2"/>
      <x:c r="H9" s="2"/>
      <x:c r="I9" s="2"/>
      <x:c r="J9" s="2"/>
      <x:c r="K9" s="2"/>
    </x:row>
    <x:row r="10">
      <x:c r="A10" s="2"/>
      <x:c r="B10" s="2"/>
      <x:c r="C10" s="2"/>
      <x:c r="D10" s="19" t="str">
        <x:v>Defectos registrados</x:v>
      </x:c>
      <x:c r="E10" s="22" t="n">
        <x:f>COUNTIF('Reporte de defectos'!A7:A100,"BUG-*")</x:f>
        <x:v>0</x:v>
      </x:c>
      <x:c r="F10" s="18" t="str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3" t="str">
        <x:v>Resultado de la ronda</x:v>
      </x:c>
      <x:c r="B12" s="23"/>
      <x:c r="C12" s="23"/>
      <x:c r="D12" s="23"/>
      <x:c r="E12" s="23"/>
      <x:c r="F12" s="23"/>
      <x:c r="G12" s="2"/>
      <x:c r="H12" s="2"/>
      <x:c r="I12" s="2"/>
      <x:c r="J12" s="2"/>
      <x:c r="K12" s="2"/>
    </x:row>
    <x:row r="13" ht="25" customHeight="1">
      <x:c r="A13" s="26" t="str">
        <x:v>Los flujos críticos incluidos en el alcance funcionaron conforme a lo esperado. No se identificaron defectos durante esta primera ronda.</x:v>
      </x:c>
      <x:c r="B13" s="27"/>
      <x:c r="C13" s="27"/>
      <x:c r="D13" s="27"/>
      <x:c r="E13" s="27"/>
      <x:c r="F13" s="28"/>
      <x:c r="G13" s="2"/>
      <x:c r="H13" s="2"/>
      <x:c r="I13" s="2"/>
      <x:c r="J13" s="2"/>
      <x:c r="K13" s="2"/>
    </x:row>
    <x:row r="14" ht="25" customHeight="1">
      <x:c r="A14" s="29"/>
      <x:c r="B14" s="30"/>
      <x:c r="C14" s="30"/>
      <x:c r="D14" s="30"/>
      <x:c r="E14" s="30"/>
      <x:c r="F14" s="31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5" t="str">
        <x:v>Uso del archivo: completa o amplía las hojas de Casos de prueba, Ejecución y Reporte de defectos. El resumen se actualiza automáticamente.</x:v>
      </x:c>
      <x:c r="B16" s="5"/>
      <x:c r="C16" s="5"/>
      <x:c r="D16" s="5"/>
      <x:c r="E16" s="5"/>
      <x:c r="F16" s="5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A2:F2"/>
    <x:mergeCell ref="A3:F3"/>
    <x:mergeCell ref="D5:F5"/>
    <x:mergeCell ref="A12:F12"/>
    <x:mergeCell ref="A13:F14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9" hidden="0" customWidth="1"/>
    <x:col min="4" max="4" width="12" hidden="0" customWidth="1"/>
    <x:col min="5" max="5" width="12" hidden="0" customWidth="1"/>
    <x:col min="6" max="6" width="30" hidden="0" customWidth="1"/>
    <x:col min="7" max="7" width="28" hidden="0" customWidth="1"/>
    <x:col min="8" max="8" width="34" hidden="0" customWidth="1"/>
    <x:col min="9" max="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Casos de prueba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</x:row>
    <x:row r="3">
      <x:c r="A3" s="5" t="str">
        <x:v>Escenarios funcionales planificados para SauceDemo</x:v>
      </x:c>
      <x:c r="B3" s="5"/>
      <x:c r="C3" s="5"/>
      <x:c r="D3" s="5"/>
      <x:c r="E3" s="5"/>
      <x:c r="F3" s="5"/>
      <x:c r="G3" s="5"/>
      <x:c r="H3" s="5"/>
      <x:c r="I3" s="5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34" t="str">
        <x:v>ID</x:v>
      </x:c>
      <x:c r="B6" s="34" t="str">
        <x:v>Módulo</x:v>
      </x:c>
      <x:c r="C6" s="34" t="str">
        <x:v>Escenario</x:v>
      </x:c>
      <x:c r="D6" s="34" t="str">
        <x:v>Prioridad</x:v>
      </x:c>
      <x:c r="E6" s="34" t="str">
        <x:v>Tipo</x:v>
      </x:c>
      <x:c r="F6" s="34" t="str">
        <x:v>Precondición</x:v>
      </x:c>
      <x:c r="G6" s="34" t="str">
        <x:v>Datos de prueba</x:v>
      </x:c>
      <x:c r="H6" s="34" t="str">
        <x:v>Pasos</x:v>
      </x:c>
      <x:c r="I6" s="34" t="str">
        <x:v>Resultado esperado</x:v>
      </x:c>
      <x:c r="J6" s="2"/>
      <x:c r="K6" s="2"/>
    </x:row>
    <x:row r="7" ht="57" customHeight="1">
      <x:c r="A7" s="36" t="str">
        <x:v>TC-LOGIN-001</x:v>
      </x:c>
      <x:c r="B7" s="35" t="str">
        <x:v>Inicio de sesión</x:v>
      </x:c>
      <x:c r="C7" s="35" t="str">
        <x:v>Acceso con credenciales válidas</x:v>
      </x:c>
      <x:c r="D7" s="38" t="str">
        <x:v>Alta</x:v>
      </x:c>
      <x:c r="E7" s="40" t="str">
        <x:v>Positiva</x:v>
      </x:c>
      <x:c r="F7" s="35" t="str">
        <x:v>Usuario en la página de inicio de sesión.</x:v>
      </x:c>
      <x:c r="G7" s="35" t="str">
        <x:v>Usuario: standard_user
Contraseña: secret_sauce</x:v>
      </x:c>
      <x:c r="H7" s="35" t="str">
        <x:v>1. Ingresar usuario válido.
2. Ingresar contraseña válida.
3. Seleccionar Login.</x:v>
      </x:c>
      <x:c r="I7" s="35" t="str">
        <x:v>Se muestra el catálogo y la URL contiene /inventory.html.</x:v>
      </x:c>
      <x:c r="J7" s="2"/>
      <x:c r="K7" s="2"/>
    </x:row>
    <x:row r="8" ht="57" customHeight="1">
      <x:c r="A8" s="36" t="str">
        <x:v>TC-LOGIN-002</x:v>
      </x:c>
      <x:c r="B8" s="35" t="str">
        <x:v>Inicio de sesión</x:v>
      </x:c>
      <x:c r="C8" s="35" t="str">
        <x:v>Rechazo de credenciales inválidas</x:v>
      </x:c>
      <x:c r="D8" s="38" t="str">
        <x:v>Alta</x:v>
      </x:c>
      <x:c r="E8" s="40" t="str">
        <x:v>Negativa</x:v>
      </x:c>
      <x:c r="F8" s="35" t="str">
        <x:v>Usuario en la página de inicio de sesión.</x:v>
      </x:c>
      <x:c r="G8" s="35" t="str">
        <x:v>Usuario: usuario_invalido
Contraseña: clave_invalida</x:v>
      </x:c>
      <x:c r="H8" s="35" t="str">
        <x:v>1. Ingresar datos inválidos.
2. Seleccionar Login.</x:v>
      </x:c>
      <x:c r="I8" s="35" t="str">
        <x:v>El acceso es rechazado y se muestra un mensaje de credenciales incorrectas.</x:v>
      </x:c>
      <x:c r="J8" s="2"/>
      <x:c r="K8" s="2"/>
    </x:row>
    <x:row r="9" ht="57" customHeight="1">
      <x:c r="A9" s="36" t="str">
        <x:v>TC-CART-001</x:v>
      </x:c>
      <x:c r="B9" s="35" t="str">
        <x:v>Carrito</x:v>
      </x:c>
      <x:c r="C9" s="35" t="str">
        <x:v>Agregar un producto al carrito</x:v>
      </x:c>
      <x:c r="D9" s="38" t="str">
        <x:v>Alta</x:v>
      </x:c>
      <x:c r="E9" s="40" t="str">
        <x:v>Positiva</x:v>
      </x:c>
      <x:c r="F9" s="35" t="str">
        <x:v>Sesión iniciada con un usuario válido; catálogo visible.</x:v>
      </x:c>
      <x:c r="G9" s="35" t="str">
        <x:v>Producto: Sauce Labs Backpack</x:v>
      </x:c>
      <x:c r="H9" s="35" t="str">
        <x:v>1. Localizar el producto.
2. Seleccionar Add to cart.</x:v>
      </x:c>
      <x:c r="I9" s="35" t="str">
        <x:v>El botón cambia a Remove y el contador del carrito muestra 1.</x:v>
      </x:c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48" hidden="0" customWidth="1"/>
    <x:col min="3" max="3" width="48" hidden="0" customWidth="1"/>
    <x:col min="4" max="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Ejecución de pruebas</x:v>
      </x:c>
      <x:c r="B2" s="3"/>
      <x:c r="C2" s="3"/>
      <x:c r="D2" s="3"/>
      <x:c r="E2" s="2"/>
      <x:c r="F2" s="2"/>
      <x:c r="G2" s="2"/>
      <x:c r="H2" s="2"/>
      <x:c r="I2" s="2"/>
      <x:c r="J2" s="2"/>
      <x:c r="K2" s="2"/>
    </x:row>
    <x:row r="3">
      <x:c r="A3" s="5" t="str">
        <x:v>Registro de los resultados observados durante la ronda de prueba</x:v>
      </x:c>
      <x:c r="B3" s="5"/>
      <x:c r="C3" s="5"/>
      <x:c r="D3" s="5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41" t="str">
        <x:v>ID</x:v>
      </x:c>
      <x:c r="B6" s="41" t="str">
        <x:v>Resultado esperado</x:v>
      </x:c>
      <x:c r="C6" s="41" t="str">
        <x:v>Resultado observado</x:v>
      </x:c>
      <x:c r="D6" s="41" t="str">
        <x:v>Estado</x:v>
      </x:c>
      <x:c r="E6" s="2"/>
      <x:c r="F6" s="2"/>
      <x:c r="G6" s="2"/>
      <x:c r="H6" s="2"/>
      <x:c r="I6" s="2"/>
      <x:c r="J6" s="2"/>
      <x:c r="K6" s="2"/>
    </x:row>
    <x:row r="7" ht="48" customHeight="1">
      <x:c r="A7" s="36" t="str">
        <x:v>TC-LOGIN-001</x:v>
      </x:c>
      <x:c r="B7" s="35" t="str">
        <x:v>Abrir el catálogo después de un acceso válido.</x:v>
      </x:c>
      <x:c r="C7" s="35" t="str">
        <x:v>El acceso con standard_user abrió el catálogo en /inventory.html.</x:v>
      </x:c>
      <x:c r="D7" s="44" t="str">
        <x:v>Aprobado</x:v>
      </x:c>
      <x:c r="E7" s="2"/>
      <x:c r="F7" s="2"/>
      <x:c r="G7" s="2"/>
      <x:c r="H7" s="2"/>
      <x:c r="I7" s="2"/>
      <x:c r="J7" s="2"/>
      <x:c r="K7" s="2"/>
    </x:row>
    <x:row r="8" ht="48" customHeight="1">
      <x:c r="A8" s="36" t="str">
        <x:v>TC-LOGIN-002</x:v>
      </x:c>
      <x:c r="B8" s="35" t="str">
        <x:v>Rechazar el acceso y mostrar un error con datos inválidos.</x:v>
      </x:c>
      <x:c r="C8" s="35" t="str">
        <x:v>La pantalla de login se mantuvo y mostró un mensaje de credenciales incorrectas.</x:v>
      </x:c>
      <x:c r="D8" s="44" t="str">
        <x:v>Aprobado</x:v>
      </x:c>
      <x:c r="E8" s="2"/>
      <x:c r="F8" s="2"/>
      <x:c r="G8" s="2"/>
      <x:c r="H8" s="2"/>
      <x:c r="I8" s="2"/>
      <x:c r="J8" s="2"/>
      <x:c r="K8" s="2"/>
    </x:row>
    <x:row r="9" ht="48" customHeight="1">
      <x:c r="A9" s="36" t="str">
        <x:v>TC-CART-001</x:v>
      </x:c>
      <x:c r="B9" s="35" t="str">
        <x:v>Añadir un producto y actualizar el contador.</x:v>
      </x:c>
      <x:c r="C9" s="35" t="str">
        <x:v>Al añadir Sauce Labs Backpack, apareció el contador 1 y el botón cambió a Remove.</x:v>
      </x:c>
      <x:c r="D9" s="44" t="str">
        <x:v>Aprobado</x:v>
      </x:c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A2:D2"/>
    <x:mergeCell ref="A3:D3"/>
  </x:mergeCells>
  <x:conditionalFormatting sqref="D7:D100">
    <x:cfRule type="containsText" dxfId="0" priority="1" operator="containsText" text="Fallido"/>
    <x:cfRule type="containsText" dxfId="1" priority="2" operator="containsText" text="Aprobado"/>
  </x:conditionalFormatting>
  <x:dataValidations count="1">
    <x:dataValidation type="list" sqref="D7:D100">
      <x:formula1>"Pendiente,Aprobado,Fallido,Bloqueado"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39" hidden="0" customWidth="1"/>
    <x:col min="8" max="8" width="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Reporte de defectos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</x:row>
    <x:row r="3">
      <x:c r="A3" s="5" t="str">
        <x:v>Registra cada defecto en una nueva fila. Incluye evidencia sin datos sensibles.</x:v>
      </x:c>
      <x:c r="B3" s="5"/>
      <x:c r="C3" s="5"/>
      <x:c r="D3" s="5"/>
      <x:c r="E3" s="5"/>
      <x:c r="F3" s="5"/>
      <x:c r="G3" s="5"/>
      <x:c r="H3" s="5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34" t="str">
        <x:v>ID</x:v>
      </x:c>
      <x:c r="B6" s="34" t="str">
        <x:v>Título del defecto</x:v>
      </x:c>
      <x:c r="C6" s="34" t="str">
        <x:v>Módulo</x:v>
      </x:c>
      <x:c r="D6" s="34" t="str">
        <x:v>Severidad</x:v>
      </x:c>
      <x:c r="E6" s="34" t="str">
        <x:v>Prioridad</x:v>
      </x:c>
      <x:c r="F6" s="34" t="str">
        <x:v>Estado</x:v>
      </x:c>
      <x:c r="G6" s="34" t="str">
        <x:v>Pasos para reproducir</x:v>
      </x:c>
      <x:c r="H6" s="34" t="str">
        <x:v>Resultado esperado / actual y evidencia</x:v>
      </x:c>
      <x:c r="I6" s="2"/>
      <x:c r="J6" s="2"/>
      <x:c r="K6" s="2"/>
    </x:row>
    <x:row r="7" ht="43" customHeight="1">
      <x:c r="A7" s="35"/>
      <x:c r="B7" s="35"/>
      <x:c r="C7" s="35"/>
      <x:c r="D7" s="35"/>
      <x:c r="E7" s="35"/>
      <x:c r="F7" s="35"/>
      <x:c r="G7" s="35"/>
      <x:c r="H7" s="35"/>
      <x:c r="I7" s="2"/>
      <x:c r="J7" s="2"/>
      <x:c r="K7" s="2"/>
    </x:row>
    <x:row r="8" ht="43" customHeight="1">
      <x:c r="A8" s="35"/>
      <x:c r="B8" s="35"/>
      <x:c r="C8" s="35"/>
      <x:c r="D8" s="35"/>
      <x:c r="E8" s="35"/>
      <x:c r="F8" s="35"/>
      <x:c r="G8" s="35"/>
      <x:c r="H8" s="35"/>
      <x:c r="I8" s="2"/>
      <x:c r="J8" s="2"/>
      <x:c r="K8" s="2"/>
    </x:row>
    <x:row r="9" ht="43" customHeight="1">
      <x:c r="A9" s="35"/>
      <x:c r="B9" s="35"/>
      <x:c r="C9" s="35"/>
      <x:c r="D9" s="35"/>
      <x:c r="E9" s="35"/>
      <x:c r="F9" s="35"/>
      <x:c r="G9" s="35"/>
      <x:c r="H9" s="35"/>
      <x:c r="I9" s="2"/>
      <x:c r="J9" s="2"/>
      <x:c r="K9" s="2"/>
    </x:row>
    <x:row r="10" ht="43" customHeight="1">
      <x:c r="A10" s="35"/>
      <x:c r="B10" s="35"/>
      <x:c r="C10" s="35"/>
      <x:c r="D10" s="35"/>
      <x:c r="E10" s="35"/>
      <x:c r="F10" s="35"/>
      <x:c r="G10" s="35"/>
      <x:c r="H10" s="35"/>
      <x:c r="I10" s="2"/>
      <x:c r="J10" s="2"/>
      <x:c r="K10" s="2"/>
    </x:row>
    <x:row r="11" ht="43" customHeight="1">
      <x:c r="A11" s="35"/>
      <x:c r="B11" s="35"/>
      <x:c r="C11" s="35"/>
      <x:c r="D11" s="35"/>
      <x:c r="E11" s="35"/>
      <x:c r="F11" s="35"/>
      <x:c r="G11" s="35"/>
      <x:c r="H11" s="35"/>
      <x:c r="I11" s="2"/>
      <x:c r="J11" s="2"/>
      <x:c r="K11" s="2"/>
    </x:row>
    <x:row r="12" ht="43" customHeight="1">
      <x:c r="A12" s="35"/>
      <x:c r="B12" s="35"/>
      <x:c r="C12" s="35"/>
      <x:c r="D12" s="35"/>
      <x:c r="E12" s="35"/>
      <x:c r="F12" s="35"/>
      <x:c r="G12" s="35"/>
      <x:c r="H12" s="35"/>
      <x:c r="I12" s="2"/>
      <x:c r="J12" s="2"/>
      <x:c r="K12" s="2"/>
    </x:row>
    <x:row r="13" ht="43" customHeight="1">
      <x:c r="A13" s="35"/>
      <x:c r="B13" s="35"/>
      <x:c r="C13" s="35"/>
      <x:c r="D13" s="35"/>
      <x:c r="E13" s="35"/>
      <x:c r="F13" s="35"/>
      <x:c r="G13" s="35"/>
      <x:c r="H13" s="35"/>
      <x:c r="I13" s="2"/>
      <x:c r="J13" s="2"/>
      <x:c r="K13" s="2"/>
    </x:row>
    <x:row r="14" ht="43" customHeight="1">
      <x:c r="A14" s="35"/>
      <x:c r="B14" s="35"/>
      <x:c r="C14" s="35"/>
      <x:c r="D14" s="35"/>
      <x:c r="E14" s="35"/>
      <x:c r="F14" s="35"/>
      <x:c r="G14" s="35"/>
      <x:c r="H14" s="35"/>
      <x:c r="I14" s="2"/>
      <x:c r="J14" s="2"/>
      <x:c r="K14" s="2"/>
    </x:row>
    <x:row r="15" ht="43" customHeight="1">
      <x:c r="A15" s="35"/>
      <x:c r="B15" s="35"/>
      <x:c r="C15" s="35"/>
      <x:c r="D15" s="35"/>
      <x:c r="E15" s="35"/>
      <x:c r="F15" s="35"/>
      <x:c r="G15" s="35"/>
      <x:c r="H15" s="35"/>
      <x:c r="I15" s="2"/>
      <x:c r="J15" s="2"/>
      <x:c r="K15" s="2"/>
    </x:row>
    <x:row r="16" ht="43" customHeight="1">
      <x:c r="A16" s="35"/>
      <x:c r="B16" s="35"/>
      <x:c r="C16" s="35"/>
      <x:c r="D16" s="35"/>
      <x:c r="E16" s="35"/>
      <x:c r="F16" s="35"/>
      <x:c r="G16" s="35"/>
      <x:c r="H16" s="35"/>
      <x:c r="I16" s="2"/>
      <x:c r="J16" s="2"/>
      <x:c r="K16" s="2"/>
    </x:row>
    <x:row r="17" ht="43" customHeight="1">
      <x:c r="A17" s="35"/>
      <x:c r="B17" s="35"/>
      <x:c r="C17" s="35"/>
      <x:c r="D17" s="35"/>
      <x:c r="E17" s="35"/>
      <x:c r="F17" s="35"/>
      <x:c r="G17" s="35"/>
      <x:c r="H17" s="35"/>
      <x:c r="I17" s="2"/>
      <x:c r="J17" s="2"/>
      <x:c r="K17" s="2"/>
    </x:row>
    <x:row r="18" ht="43" customHeight="1">
      <x:c r="A18" s="35"/>
      <x:c r="B18" s="35"/>
      <x:c r="C18" s="35"/>
      <x:c r="D18" s="35"/>
      <x:c r="E18" s="35"/>
      <x:c r="F18" s="35"/>
      <x:c r="G18" s="35"/>
      <x:c r="H18" s="35"/>
      <x:c r="I18" s="2"/>
      <x:c r="J18" s="2"/>
      <x:c r="K18" s="2"/>
    </x:row>
    <x:row r="19" ht="43" customHeight="1">
      <x:c r="A19" s="35"/>
      <x:c r="B19" s="35"/>
      <x:c r="C19" s="35"/>
      <x:c r="D19" s="35"/>
      <x:c r="E19" s="35"/>
      <x:c r="F19" s="35"/>
      <x:c r="G19" s="35"/>
      <x:c r="H19" s="35"/>
      <x:c r="I19" s="2"/>
      <x:c r="J19" s="2"/>
      <x:c r="K19" s="2"/>
    </x:row>
    <x:row r="20" ht="43" customHeight="1">
      <x:c r="A20" s="35"/>
      <x:c r="B20" s="35"/>
      <x:c r="C20" s="35"/>
      <x:c r="D20" s="35"/>
      <x:c r="E20" s="35"/>
      <x:c r="F20" s="35"/>
      <x:c r="G20" s="35"/>
      <x:c r="H20" s="35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A2:H2"/>
    <x:mergeCell ref="A3:H3"/>
  </x:mergeCells>
  <x:dataValidations count="3">
    <x:dataValidation type="list" sqref="D7:D100">
      <x:formula1>"Crítica,Alta,Media,Baja"</x:formula1>
    </x:dataValidation>
    <x:dataValidation type="list" sqref="E7:E100">
      <x:formula1>"Alta,Media,Baja"</x:formula1>
    </x:dataValidation>
    <x:dataValidation type="list" sqref="F7:F100">
      <x:formula1>"Nuevo,En revisión,Corregido,Cerrado"</x:formula1>
    </x:dataValidation>
  </x:dataValidations>
  <x:pageMargins left="0.7" right="0.7" top="0.75" bottom="0.75" header="0.3" footer="0.3"/>
</x:worksheet>
</file>